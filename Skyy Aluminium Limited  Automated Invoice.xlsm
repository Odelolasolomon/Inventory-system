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sky aluminium\"/>
    </mc:Choice>
  </mc:AlternateContent>
  <bookViews>
    <workbookView xWindow="0" yWindow="0" windowWidth="23040" windowHeight="9390"/>
  </bookViews>
  <sheets>
    <sheet name="skyy-aluminium-Invoice-template" sheetId="1" r:id="rId1"/>
    <sheet name="Record_invoices" sheetId="4" r:id="rId2"/>
  </sheets>
  <definedNames>
    <definedName name="Cust_ddown">#REF!</definedName>
    <definedName name="_xlnm.Print_Area" localSheetId="0">'skyy-aluminium-Invoice-template'!$A$1:$I$44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1" l="1"/>
  <c r="H19" i="1"/>
  <c r="H20" i="1"/>
  <c r="H21" i="1"/>
  <c r="H22" i="1"/>
  <c r="H23" i="1"/>
  <c r="H24" i="1"/>
  <c r="H25" i="1"/>
  <c r="H26" i="1"/>
  <c r="H27" i="1"/>
  <c r="H28" i="1"/>
  <c r="H29" i="1"/>
  <c r="H14" i="1"/>
  <c r="H30" i="1" l="1"/>
  <c r="H32" i="1" s="1"/>
</calcChain>
</file>

<file path=xl/sharedStrings.xml><?xml version="1.0" encoding="utf-8"?>
<sst xmlns="http://schemas.openxmlformats.org/spreadsheetml/2006/main" count="47" uniqueCount="46">
  <si>
    <t>SKYY ALUMINIUM LTD.</t>
  </si>
  <si>
    <t>BUILDING MATERIALS MERCHANT</t>
  </si>
  <si>
    <t>Representative of:       EMENITE LTD.</t>
  </si>
  <si>
    <t xml:space="preserve"> </t>
  </si>
  <si>
    <t xml:space="preserve">  </t>
  </si>
  <si>
    <t>No</t>
  </si>
  <si>
    <t xml:space="preserve">To </t>
  </si>
  <si>
    <r>
      <rPr>
        <b/>
        <sz val="14"/>
        <color rgb="FF0070C0"/>
        <rFont val="Calibri"/>
        <family val="2"/>
        <scheme val="minor"/>
      </rPr>
      <t xml:space="preserve">                                     </t>
    </r>
    <r>
      <rPr>
        <b/>
        <u/>
        <sz val="14"/>
        <color rgb="FF0070C0"/>
        <rFont val="Calibri"/>
        <family val="2"/>
        <scheme val="minor"/>
      </rPr>
      <t>Cash/Credit Sales Invoice</t>
    </r>
  </si>
  <si>
    <t>Date</t>
  </si>
  <si>
    <t>Tel</t>
  </si>
  <si>
    <t>Qty</t>
  </si>
  <si>
    <t>Description</t>
  </si>
  <si>
    <t>Rate</t>
  </si>
  <si>
    <t>K</t>
  </si>
  <si>
    <t>Received the above items in good condition</t>
  </si>
  <si>
    <t>No refund of money after payment</t>
  </si>
  <si>
    <t xml:space="preserve">  Paid by Cheque No </t>
  </si>
  <si>
    <t>Amount in words</t>
  </si>
  <si>
    <t>Customer's Signature</t>
  </si>
  <si>
    <t>Naira</t>
  </si>
  <si>
    <t>Kobo</t>
  </si>
  <si>
    <t>Manager's Signature</t>
  </si>
  <si>
    <t>Telephone</t>
  </si>
  <si>
    <t>Invoice No</t>
  </si>
  <si>
    <t xml:space="preserve">#                  </t>
  </si>
  <si>
    <t>To</t>
  </si>
  <si>
    <t>Amount</t>
  </si>
  <si>
    <t>Paid</t>
  </si>
  <si>
    <t>Invoice saved as pdf</t>
  </si>
  <si>
    <t>Invoice saved as Excel File</t>
  </si>
  <si>
    <t>Date Due</t>
  </si>
  <si>
    <t>Date Issued</t>
  </si>
  <si>
    <t>Term</t>
  </si>
  <si>
    <t>Paid by Cheque No</t>
  </si>
  <si>
    <t xml:space="preserve"> HEAD OFFICE 2                                              PORT HARCOURT DEPOT                      YENAGOA OFFICE</t>
  </si>
  <si>
    <t xml:space="preserve">TOTAL           </t>
  </si>
  <si>
    <t xml:space="preserve">Deposit         </t>
  </si>
  <si>
    <t xml:space="preserve">Balance         </t>
  </si>
  <si>
    <t>Email: skyyaluminiuimltd7@gmail.com                                     07080440779</t>
  </si>
  <si>
    <t xml:space="preserve">Plot 6, Timber/Building Materials             KM 1New Airport Road,                               236,  Melford Okilo Expressway                                 </t>
  </si>
  <si>
    <t>Mbiabong, Uyo, Akwa Ibom State.           Port-Harcourt, Rivers State.                               Yenagoa, Bayelsa State.</t>
  </si>
  <si>
    <t xml:space="preserve">Tel: 08037609872, 08023264154                  Tel: 08034928851, 08037191530                       Tel: 08036702221, </t>
  </si>
  <si>
    <t>Main Gate Road, Ifa Ikot Okpon                Obiri Ikweme, Opp. SARS Road,                  By Idide Hotel Junction Ekeki,</t>
  </si>
  <si>
    <t>Yes</t>
  </si>
  <si>
    <t>real</t>
  </si>
  <si>
    <t>fake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</si>
</sst>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_-[$₦-46A]* #,##0.00_-;\-[$₦-46A]* #,##0.00_-;_-[$₦-46A]* &quot;-&quot;??_-;_-@_-"/>
    <numFmt numFmtId="165" formatCode="_-[$₦-468]\ * #,##0.00_-;\-[$₦-468]\ * #,##0.00_-;_-[$₦-468]\ * &quot;-&quot;??_-;_-@_-"/>
    <numFmt numFmtId="166" formatCode="_-[$₦-469]\ * #,##0.00_-;\-[$₦-469]\ * #,##0.00_-;_-[$₦-469]\ * &quot;-&quot;??_-;_-@_-"/>
  </numFmts>
  <fonts count="18" x14ac:knownFonts="1">
    <font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4"/>
      <color rgb="FF0070C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u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.5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 style="medium">
        <color theme="3"/>
      </right>
      <top/>
      <bottom/>
      <diagonal/>
    </border>
    <border>
      <left/>
      <right/>
      <top/>
      <bottom style="dashed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/>
      <top style="medium">
        <color rgb="FF0070C0"/>
      </top>
      <bottom/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 style="medium">
        <color theme="3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/>
      <diagonal/>
    </border>
  </borders>
  <cellStyleXfs count="3">
    <xf numFmtId="0" fontId="0" fillId="0" borderId="0"/>
    <xf numFmtId="44" fontId="13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Font="1" applyAlignment="1"/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0" fillId="0" borderId="0" xfId="0" applyBorder="1"/>
    <xf numFmtId="0" fontId="4" fillId="0" borderId="0" xfId="0" applyFont="1"/>
    <xf numFmtId="0" fontId="5" fillId="0" borderId="0" xfId="0" applyFont="1"/>
    <xf numFmtId="0" fontId="8" fillId="0" borderId="0" xfId="0" applyFont="1" applyAlignment="1">
      <alignment vertical="center"/>
    </xf>
    <xf numFmtId="0" fontId="5" fillId="0" borderId="0" xfId="0" applyFont="1" applyAlignment="1"/>
    <xf numFmtId="0" fontId="4" fillId="0" borderId="7" xfId="0" applyFont="1" applyBorder="1"/>
    <xf numFmtId="0" fontId="4" fillId="0" borderId="7" xfId="0" applyFont="1" applyBorder="1"/>
    <xf numFmtId="0" fontId="8" fillId="0" borderId="7" xfId="0" applyFont="1" applyBorder="1"/>
    <xf numFmtId="14" fontId="0" fillId="0" borderId="0" xfId="0" applyNumberFormat="1"/>
    <xf numFmtId="0" fontId="0" fillId="0" borderId="0" xfId="0" applyNumberFormat="1"/>
    <xf numFmtId="2" fontId="0" fillId="0" borderId="0" xfId="0" applyNumberFormat="1" applyBorder="1"/>
    <xf numFmtId="2" fontId="0" fillId="0" borderId="0" xfId="0" applyNumberFormat="1" applyFont="1" applyAlignment="1"/>
    <xf numFmtId="2" fontId="5" fillId="0" borderId="0" xfId="0" applyNumberFormat="1" applyFont="1"/>
    <xf numFmtId="2" fontId="4" fillId="0" borderId="0" xfId="0" applyNumberFormat="1" applyFont="1"/>
    <xf numFmtId="2" fontId="0" fillId="0" borderId="0" xfId="0" applyNumberFormat="1"/>
    <xf numFmtId="0" fontId="5" fillId="0" borderId="0" xfId="0" applyFont="1" applyBorder="1" applyAlignment="1">
      <alignment horizontal="center"/>
    </xf>
    <xf numFmtId="2" fontId="5" fillId="0" borderId="0" xfId="0" applyNumberFormat="1" applyFont="1" applyBorder="1"/>
    <xf numFmtId="0" fontId="5" fillId="0" borderId="0" xfId="0" applyFont="1" applyBorder="1" applyAlignment="1">
      <alignment horizontal="left"/>
    </xf>
    <xf numFmtId="0" fontId="11" fillId="2" borderId="0" xfId="0" applyFont="1" applyFill="1" applyAlignment="1">
      <alignment horizontal="center"/>
    </xf>
    <xf numFmtId="0" fontId="0" fillId="0" borderId="0" xfId="0" applyFont="1" applyBorder="1" applyAlignment="1"/>
    <xf numFmtId="0" fontId="8" fillId="0" borderId="0" xfId="0" applyFont="1" applyAlignment="1"/>
    <xf numFmtId="7" fontId="0" fillId="0" borderId="0" xfId="0" applyNumberFormat="1"/>
    <xf numFmtId="0" fontId="7" fillId="0" borderId="0" xfId="0" applyFont="1" applyAlignment="1"/>
    <xf numFmtId="0" fontId="14" fillId="0" borderId="0" xfId="0" applyFont="1" applyBorder="1" applyAlignment="1">
      <alignment horizontal="center"/>
    </xf>
    <xf numFmtId="1" fontId="15" fillId="0" borderId="0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left"/>
    </xf>
    <xf numFmtId="2" fontId="8" fillId="0" borderId="9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0" fontId="4" fillId="0" borderId="0" xfId="0" applyFont="1" applyAlignment="1"/>
    <xf numFmtId="0" fontId="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2" fontId="4" fillId="0" borderId="9" xfId="0" applyNumberFormat="1" applyFont="1" applyBorder="1" applyAlignment="1">
      <alignment horizontal="centerContinuous" vertical="center"/>
    </xf>
    <xf numFmtId="2" fontId="4" fillId="0" borderId="8" xfId="0" applyNumberFormat="1" applyFont="1" applyBorder="1" applyAlignment="1">
      <alignment horizontal="centerContinuous" vertical="center"/>
    </xf>
    <xf numFmtId="2" fontId="5" fillId="0" borderId="8" xfId="0" applyNumberFormat="1" applyFont="1" applyBorder="1" applyAlignment="1">
      <alignment horizontal="centerContinuous" vertical="center"/>
    </xf>
    <xf numFmtId="2" fontId="5" fillId="0" borderId="11" xfId="0" applyNumberFormat="1" applyFont="1" applyBorder="1" applyAlignment="1">
      <alignment horizontal="centerContinuous" vertical="center"/>
    </xf>
    <xf numFmtId="14" fontId="5" fillId="0" borderId="4" xfId="0" applyNumberFormat="1" applyFont="1" applyBorder="1" applyAlignment="1">
      <alignment horizontal="center" vertical="center"/>
    </xf>
    <xf numFmtId="14" fontId="10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/>
    <xf numFmtId="0" fontId="5" fillId="0" borderId="0" xfId="0" applyFont="1" applyBorder="1" applyAlignment="1"/>
    <xf numFmtId="0" fontId="5" fillId="0" borderId="3" xfId="0" applyFont="1" applyBorder="1" applyAlignment="1">
      <alignment horizontal="centerContinuous" vertical="center"/>
    </xf>
    <xf numFmtId="1" fontId="5" fillId="0" borderId="3" xfId="0" applyNumberFormat="1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5" fillId="0" borderId="4" xfId="0" applyFont="1" applyBorder="1" applyAlignment="1">
      <alignment horizontal="centerContinuous" vertical="center"/>
    </xf>
    <xf numFmtId="19" fontId="0" fillId="0" borderId="0" xfId="0" applyNumberFormat="1"/>
    <xf numFmtId="0" fontId="16" fillId="0" borderId="0" xfId="2"/>
    <xf numFmtId="2" fontId="16" fillId="0" borderId="0" xfId="2" applyNumberFormat="1"/>
    <xf numFmtId="164" fontId="11" fillId="2" borderId="0" xfId="1" applyNumberFormat="1" applyFont="1" applyFill="1" applyAlignment="1">
      <alignment horizontal="center"/>
    </xf>
    <xf numFmtId="164" fontId="0" fillId="0" borderId="0" xfId="1" applyNumberFormat="1" applyFont="1"/>
    <xf numFmtId="1" fontId="0" fillId="0" borderId="4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Continuous"/>
    </xf>
    <xf numFmtId="0" fontId="4" fillId="0" borderId="12" xfId="0" applyFont="1" applyBorder="1"/>
    <xf numFmtId="0" fontId="8" fillId="0" borderId="8" xfId="0" applyFont="1" applyBorder="1"/>
    <xf numFmtId="0" fontId="8" fillId="0" borderId="9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8" fillId="0" borderId="6" xfId="0" applyFont="1" applyBorder="1" applyAlignment="1">
      <alignment horizontal="centerContinuous" vertical="center"/>
    </xf>
    <xf numFmtId="0" fontId="8" fillId="0" borderId="8" xfId="0" applyFont="1" applyBorder="1" applyAlignment="1">
      <alignment horizontal="centerContinuous" vertical="center"/>
    </xf>
    <xf numFmtId="49" fontId="5" fillId="0" borderId="4" xfId="0" applyNumberFormat="1" applyFont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Continuous" vertical="center"/>
    </xf>
    <xf numFmtId="2" fontId="5" fillId="0" borderId="3" xfId="0" applyNumberFormat="1" applyFont="1" applyBorder="1" applyAlignment="1">
      <alignment horizontal="centerContinuous" vertical="center"/>
    </xf>
    <xf numFmtId="0" fontId="12" fillId="0" borderId="0" xfId="0" applyFont="1" applyAlignment="1"/>
    <xf numFmtId="0" fontId="2" fillId="0" borderId="0" xfId="0" applyFont="1" applyAlignment="1"/>
    <xf numFmtId="14" fontId="4" fillId="0" borderId="0" xfId="0" applyNumberFormat="1" applyFont="1"/>
    <xf numFmtId="165" fontId="5" fillId="0" borderId="9" xfId="1" applyNumberFormat="1" applyFont="1" applyBorder="1" applyAlignment="1">
      <alignment horizontal="centerContinuous" vertical="center"/>
    </xf>
    <xf numFmtId="166" fontId="5" fillId="0" borderId="9" xfId="0" applyNumberFormat="1" applyFont="1" applyBorder="1" applyAlignment="1">
      <alignment horizontal="centerContinuous" vertical="center"/>
    </xf>
    <xf numFmtId="166" fontId="5" fillId="0" borderId="10" xfId="0" applyNumberFormat="1" applyFont="1" applyBorder="1" applyAlignment="1">
      <alignment horizontal="centerContinuous" vertical="center"/>
    </xf>
    <xf numFmtId="0" fontId="4" fillId="0" borderId="9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vertical="center" shrinkToFit="1"/>
    </xf>
    <xf numFmtId="0" fontId="4" fillId="0" borderId="6" xfId="0" applyFont="1" applyBorder="1" applyAlignment="1">
      <alignment vertical="center" shrinkToFit="1"/>
    </xf>
    <xf numFmtId="0" fontId="4" fillId="0" borderId="8" xfId="0" applyFont="1" applyBorder="1" applyAlignment="1">
      <alignment vertical="center" shrinkToFit="1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left" indent="19"/>
    </xf>
    <xf numFmtId="0" fontId="8" fillId="0" borderId="0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8" fillId="0" borderId="0" xfId="0" applyFont="1" applyBorder="1" applyAlignment="1"/>
    <xf numFmtId="0" fontId="5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/>
    <xf numFmtId="0" fontId="6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12" fillId="0" borderId="0" xfId="0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10</xdr:row>
          <xdr:rowOff>152400</xdr:rowOff>
        </xdr:from>
        <xdr:to>
          <xdr:col>12</xdr:col>
          <xdr:colOff>161925</xdr:colOff>
          <xdr:row>13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Record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397565</xdr:colOff>
      <xdr:row>11</xdr:row>
      <xdr:rowOff>85311</xdr:rowOff>
    </xdr:from>
    <xdr:to>
      <xdr:col>12</xdr:col>
      <xdr:colOff>26504</xdr:colOff>
      <xdr:row>12</xdr:row>
      <xdr:rowOff>138319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756" y="2404441"/>
          <a:ext cx="238539" cy="238539"/>
        </a:xfrm>
        <a:prstGeom prst="rect">
          <a:avLst/>
        </a:prstGeom>
      </xdr:spPr>
    </xdr:pic>
    <xdr:clientData/>
  </xdr:twoCellAnchor>
  <xdr:twoCellAnchor editAs="oneCell">
    <xdr:from>
      <xdr:col>0</xdr:col>
      <xdr:colOff>541021</xdr:colOff>
      <xdr:row>0</xdr:row>
      <xdr:rowOff>68309</xdr:rowOff>
    </xdr:from>
    <xdr:to>
      <xdr:col>1</xdr:col>
      <xdr:colOff>434340</xdr:colOff>
      <xdr:row>0</xdr:row>
      <xdr:rowOff>419099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1" y="68309"/>
          <a:ext cx="502919" cy="3507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15</xdr:row>
          <xdr:rowOff>19050</xdr:rowOff>
        </xdr:from>
        <xdr:to>
          <xdr:col>12</xdr:col>
          <xdr:colOff>104775</xdr:colOff>
          <xdr:row>17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Receipts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423076</xdr:colOff>
      <xdr:row>15</xdr:row>
      <xdr:rowOff>105268</xdr:rowOff>
    </xdr:from>
    <xdr:to>
      <xdr:col>12</xdr:col>
      <xdr:colOff>66261</xdr:colOff>
      <xdr:row>16</xdr:row>
      <xdr:rowOff>152400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1041" y="3186398"/>
          <a:ext cx="252785" cy="2525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18</xdr:row>
          <xdr:rowOff>171450</xdr:rowOff>
        </xdr:from>
        <xdr:to>
          <xdr:col>12</xdr:col>
          <xdr:colOff>57150</xdr:colOff>
          <xdr:row>21</xdr:row>
          <xdr:rowOff>57150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331305</xdr:colOff>
      <xdr:row>19</xdr:row>
      <xdr:rowOff>58807</xdr:rowOff>
    </xdr:from>
    <xdr:to>
      <xdr:col>12</xdr:col>
      <xdr:colOff>39757</xdr:colOff>
      <xdr:row>20</xdr:row>
      <xdr:rowOff>184703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39270" y="3935068"/>
          <a:ext cx="318052" cy="3180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23</xdr:row>
          <xdr:rowOff>9525</xdr:rowOff>
        </xdr:from>
        <xdr:to>
          <xdr:col>12</xdr:col>
          <xdr:colOff>28575</xdr:colOff>
          <xdr:row>25</xdr:row>
          <xdr:rowOff>9525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 Excel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304800</xdr:colOff>
      <xdr:row>23</xdr:row>
      <xdr:rowOff>19878</xdr:rowOff>
    </xdr:from>
    <xdr:to>
      <xdr:col>12</xdr:col>
      <xdr:colOff>12423</xdr:colOff>
      <xdr:row>24</xdr:row>
      <xdr:rowOff>144945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2765" y="4664765"/>
          <a:ext cx="317223" cy="3172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9"/>
  <sheetViews>
    <sheetView showGridLines="0" tabSelected="1" zoomScaleNormal="100" workbookViewId="0">
      <selection activeCell="G19" sqref="G19"/>
    </sheetView>
  </sheetViews>
  <sheetFormatPr defaultRowHeight="15" x14ac:dyDescent="0.25"/>
  <cols>
    <col min="1" max="1" width="8.85546875" customWidth="1"/>
    <col min="2" max="2" width="8" customWidth="1"/>
    <col min="6" max="6" width="5.5703125" customWidth="1"/>
    <col min="7" max="7" width="11.7109375" customWidth="1"/>
    <col min="8" max="8" width="13.42578125" style="23" customWidth="1"/>
    <col min="9" max="9" width="10.140625" style="23" customWidth="1"/>
  </cols>
  <sheetData>
    <row r="1" spans="1:16" ht="36" x14ac:dyDescent="0.55000000000000004">
      <c r="A1" s="90" t="s">
        <v>0</v>
      </c>
      <c r="B1" s="90"/>
      <c r="C1" s="90"/>
      <c r="D1" s="90"/>
      <c r="E1" s="90"/>
      <c r="F1" s="90"/>
      <c r="G1" s="90"/>
      <c r="H1" s="90"/>
      <c r="I1" s="90"/>
      <c r="J1" s="72"/>
    </row>
    <row r="2" spans="1:16" x14ac:dyDescent="0.25">
      <c r="A2" s="38" t="s">
        <v>1</v>
      </c>
      <c r="B2" s="38"/>
      <c r="C2" s="38"/>
      <c r="D2" s="38"/>
      <c r="E2" s="38"/>
      <c r="F2" s="38"/>
      <c r="G2" s="38"/>
      <c r="H2" s="38"/>
      <c r="I2" s="38"/>
      <c r="J2" s="38"/>
    </row>
    <row r="3" spans="1:16" x14ac:dyDescent="0.25">
      <c r="A3" s="39" t="s">
        <v>2</v>
      </c>
      <c r="B3" s="39"/>
      <c r="C3" s="39"/>
      <c r="D3" s="39"/>
      <c r="E3" s="39"/>
      <c r="F3" s="39"/>
      <c r="G3" s="39"/>
      <c r="H3" s="39"/>
      <c r="I3" s="39"/>
      <c r="J3" s="39"/>
    </row>
    <row r="4" spans="1:16" x14ac:dyDescent="0.25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6" x14ac:dyDescent="0.25">
      <c r="A5" s="91" t="s">
        <v>34</v>
      </c>
      <c r="B5" s="91"/>
      <c r="C5" s="91"/>
      <c r="D5" s="91"/>
      <c r="E5" s="91"/>
      <c r="F5" s="91"/>
      <c r="G5" s="91"/>
      <c r="H5" s="91"/>
      <c r="I5" s="91"/>
      <c r="J5" s="40"/>
    </row>
    <row r="6" spans="1:16" x14ac:dyDescent="0.25">
      <c r="A6" s="93" t="s">
        <v>39</v>
      </c>
      <c r="B6" s="93"/>
      <c r="C6" s="93"/>
      <c r="D6" s="93"/>
      <c r="E6" s="93"/>
      <c r="F6" s="93"/>
      <c r="G6" s="93"/>
      <c r="H6" s="93"/>
      <c r="I6" s="93"/>
      <c r="J6" s="31"/>
    </row>
    <row r="7" spans="1:16" x14ac:dyDescent="0.25">
      <c r="A7" s="93" t="s">
        <v>42</v>
      </c>
      <c r="B7" s="93"/>
      <c r="C7" s="93"/>
      <c r="D7" s="93"/>
      <c r="E7" s="93"/>
      <c r="F7" s="93"/>
      <c r="G7" s="93"/>
      <c r="H7" s="93"/>
      <c r="I7" s="93"/>
      <c r="J7" s="31"/>
      <c r="O7" s="18"/>
    </row>
    <row r="8" spans="1:16" x14ac:dyDescent="0.25">
      <c r="A8" s="93" t="s">
        <v>40</v>
      </c>
      <c r="B8" s="93"/>
      <c r="C8" s="93"/>
      <c r="D8" s="93"/>
      <c r="E8" s="93"/>
      <c r="F8" s="93"/>
      <c r="G8" s="93"/>
      <c r="H8" s="93"/>
      <c r="I8" s="93"/>
      <c r="J8" s="31"/>
      <c r="O8" s="18"/>
    </row>
    <row r="9" spans="1:16" x14ac:dyDescent="0.25">
      <c r="A9" s="94" t="s">
        <v>41</v>
      </c>
      <c r="B9" s="94"/>
      <c r="C9" s="94"/>
      <c r="D9" s="94"/>
      <c r="E9" s="94"/>
      <c r="F9" s="94"/>
      <c r="G9" s="94"/>
      <c r="H9" s="94"/>
      <c r="I9" s="94"/>
      <c r="J9" s="71"/>
      <c r="O9" s="23"/>
    </row>
    <row r="10" spans="1:16" x14ac:dyDescent="0.25">
      <c r="A10" s="84" t="s">
        <v>38</v>
      </c>
      <c r="B10" s="84"/>
      <c r="C10" s="13"/>
      <c r="D10" s="13"/>
      <c r="E10" s="13"/>
      <c r="F10" s="13"/>
      <c r="G10" s="13"/>
      <c r="H10" s="84"/>
      <c r="I10" s="84"/>
      <c r="J10" s="13"/>
      <c r="O10" s="18"/>
    </row>
    <row r="11" spans="1:16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8"/>
      <c r="O11" s="18"/>
    </row>
    <row r="12" spans="1:16" ht="14.45" customHeight="1" x14ac:dyDescent="0.25">
      <c r="A12" s="92" t="s">
        <v>7</v>
      </c>
      <c r="B12" s="92"/>
      <c r="C12" s="92"/>
      <c r="D12" s="92"/>
      <c r="E12" s="92"/>
      <c r="F12" s="92"/>
      <c r="G12" s="12" t="s">
        <v>5</v>
      </c>
      <c r="H12" s="68">
        <v>4</v>
      </c>
      <c r="I12" s="33"/>
      <c r="J12" s="3"/>
      <c r="O12" s="18"/>
    </row>
    <row r="13" spans="1:16" ht="14.45" customHeight="1" x14ac:dyDescent="0.25">
      <c r="A13" s="1"/>
      <c r="B13" s="1"/>
      <c r="C13" s="1"/>
      <c r="D13" s="1"/>
      <c r="E13" s="1"/>
      <c r="F13" s="1"/>
      <c r="H13" s="19"/>
      <c r="I13" s="19"/>
    </row>
    <row r="14" spans="1:16" ht="14.45" customHeight="1" thickBot="1" x14ac:dyDescent="0.3">
      <c r="A14" s="4" t="s">
        <v>6</v>
      </c>
      <c r="B14" s="69"/>
      <c r="C14" s="60"/>
      <c r="D14" s="5"/>
      <c r="E14" s="5"/>
      <c r="F14" s="5"/>
      <c r="G14" s="7" t="s">
        <v>8</v>
      </c>
      <c r="H14" s="45">
        <f ca="1">TODAY()</f>
        <v>44708</v>
      </c>
      <c r="I14" s="46"/>
      <c r="J14" s="3"/>
    </row>
    <row r="15" spans="1:16" ht="16.5" thickBot="1" x14ac:dyDescent="0.3">
      <c r="A15" s="29" t="s">
        <v>32</v>
      </c>
      <c r="B15" s="59"/>
      <c r="C15" s="28"/>
      <c r="D15" s="6"/>
      <c r="E15" s="6"/>
      <c r="F15" s="6"/>
      <c r="G15" s="13" t="s">
        <v>9</v>
      </c>
      <c r="H15" s="67"/>
      <c r="I15" s="47"/>
      <c r="J15" s="1"/>
      <c r="P15" t="s">
        <v>4</v>
      </c>
    </row>
    <row r="16" spans="1:16" ht="16.5" thickBot="1" x14ac:dyDescent="0.3">
      <c r="B16" s="6"/>
      <c r="C16" s="32"/>
      <c r="D16" s="6"/>
      <c r="E16" s="6"/>
      <c r="F16" s="6"/>
      <c r="G16" s="6"/>
      <c r="H16" s="20"/>
      <c r="I16" s="20"/>
      <c r="J16" s="1"/>
    </row>
    <row r="17" spans="1:11" ht="16.5" thickBot="1" x14ac:dyDescent="0.3">
      <c r="A17" s="16" t="s">
        <v>10</v>
      </c>
      <c r="B17" s="63" t="s">
        <v>11</v>
      </c>
      <c r="C17" s="64"/>
      <c r="D17" s="65"/>
      <c r="E17" s="65"/>
      <c r="F17" s="66"/>
      <c r="G17" s="62" t="s">
        <v>12</v>
      </c>
      <c r="H17" s="35" t="s">
        <v>24</v>
      </c>
      <c r="I17" s="36" t="s">
        <v>13</v>
      </c>
    </row>
    <row r="18" spans="1:11" ht="15.75" thickBot="1" x14ac:dyDescent="0.3">
      <c r="A18" s="15">
        <v>10</v>
      </c>
      <c r="B18" s="80"/>
      <c r="C18" s="81"/>
      <c r="D18" s="81"/>
      <c r="E18" s="81" t="s">
        <v>44</v>
      </c>
      <c r="F18" s="82"/>
      <c r="G18" s="61">
        <v>2</v>
      </c>
      <c r="H18" s="41">
        <f>ROUND(A18*G18, 2)</f>
        <v>20</v>
      </c>
      <c r="I18" s="42"/>
    </row>
    <row r="19" spans="1:11" ht="15.75" thickBot="1" x14ac:dyDescent="0.3">
      <c r="A19" s="14">
        <v>8</v>
      </c>
      <c r="B19" s="77"/>
      <c r="C19" s="78"/>
      <c r="D19" s="78" t="s">
        <v>45</v>
      </c>
      <c r="E19" s="78"/>
      <c r="F19" s="79"/>
      <c r="G19" s="15">
        <v>1</v>
      </c>
      <c r="H19" s="41">
        <f t="shared" ref="H19:H29" si="0">ROUND(A19*G19, 2)</f>
        <v>8</v>
      </c>
      <c r="I19" s="42"/>
    </row>
    <row r="20" spans="1:11" ht="15.75" thickBot="1" x14ac:dyDescent="0.3">
      <c r="A20" s="15"/>
      <c r="B20" s="77"/>
      <c r="C20" s="78"/>
      <c r="D20" s="78"/>
      <c r="E20" s="78"/>
      <c r="F20" s="79"/>
      <c r="G20" s="15"/>
      <c r="H20" s="41">
        <f>ROUND(A20*G20, 2)</f>
        <v>0</v>
      </c>
      <c r="I20" s="42"/>
    </row>
    <row r="21" spans="1:11" ht="15.75" thickBot="1" x14ac:dyDescent="0.3">
      <c r="A21" s="14"/>
      <c r="B21" s="77"/>
      <c r="C21" s="78"/>
      <c r="D21" s="78"/>
      <c r="E21" s="78"/>
      <c r="F21" s="79"/>
      <c r="G21" s="14"/>
      <c r="H21" s="41">
        <f t="shared" si="0"/>
        <v>0</v>
      </c>
      <c r="I21" s="42"/>
    </row>
    <row r="22" spans="1:11" ht="15.75" thickBot="1" x14ac:dyDescent="0.3">
      <c r="A22" s="14"/>
      <c r="B22" s="77"/>
      <c r="C22" s="78"/>
      <c r="D22" s="78"/>
      <c r="E22" s="78"/>
      <c r="F22" s="79"/>
      <c r="G22" s="14"/>
      <c r="H22" s="41">
        <f t="shared" si="0"/>
        <v>0</v>
      </c>
      <c r="I22" s="42"/>
    </row>
    <row r="23" spans="1:11" ht="15.75" thickBot="1" x14ac:dyDescent="0.3">
      <c r="A23" s="14"/>
      <c r="B23" s="77"/>
      <c r="C23" s="78"/>
      <c r="D23" s="78"/>
      <c r="E23" s="78"/>
      <c r="F23" s="79"/>
      <c r="G23" s="14"/>
      <c r="H23" s="41">
        <f t="shared" si="0"/>
        <v>0</v>
      </c>
      <c r="I23" s="42"/>
    </row>
    <row r="24" spans="1:11" ht="15.75" thickBot="1" x14ac:dyDescent="0.3">
      <c r="A24" s="14"/>
      <c r="B24" s="77"/>
      <c r="C24" s="78"/>
      <c r="D24" s="78"/>
      <c r="E24" s="78"/>
      <c r="F24" s="79"/>
      <c r="G24" s="14"/>
      <c r="H24" s="41">
        <f t="shared" si="0"/>
        <v>0</v>
      </c>
      <c r="I24" s="42"/>
    </row>
    <row r="25" spans="1:11" ht="15.75" thickBot="1" x14ac:dyDescent="0.3">
      <c r="A25" s="14"/>
      <c r="B25" s="77"/>
      <c r="C25" s="78"/>
      <c r="D25" s="78"/>
      <c r="E25" s="78"/>
      <c r="F25" s="79"/>
      <c r="G25" s="14"/>
      <c r="H25" s="41">
        <f t="shared" si="0"/>
        <v>0</v>
      </c>
      <c r="I25" s="42"/>
    </row>
    <row r="26" spans="1:11" ht="15.75" thickBot="1" x14ac:dyDescent="0.3">
      <c r="A26" s="14"/>
      <c r="B26" s="77"/>
      <c r="C26" s="78"/>
      <c r="D26" s="78"/>
      <c r="E26" s="78"/>
      <c r="F26" s="79"/>
      <c r="G26" s="14"/>
      <c r="H26" s="41">
        <f t="shared" si="0"/>
        <v>0</v>
      </c>
      <c r="I26" s="42"/>
    </row>
    <row r="27" spans="1:11" ht="15.75" thickBot="1" x14ac:dyDescent="0.3">
      <c r="A27" s="14"/>
      <c r="B27" s="77"/>
      <c r="C27" s="78"/>
      <c r="D27" s="78"/>
      <c r="E27" s="78"/>
      <c r="F27" s="79"/>
      <c r="G27" s="14"/>
      <c r="H27" s="41">
        <f t="shared" si="0"/>
        <v>0</v>
      </c>
      <c r="I27" s="42"/>
    </row>
    <row r="28" spans="1:11" ht="15.75" thickBot="1" x14ac:dyDescent="0.3">
      <c r="A28" s="14"/>
      <c r="B28" s="77"/>
      <c r="C28" s="78"/>
      <c r="D28" s="78"/>
      <c r="E28" s="78"/>
      <c r="F28" s="79"/>
      <c r="G28" s="14"/>
      <c r="H28" s="41">
        <f t="shared" si="0"/>
        <v>0</v>
      </c>
      <c r="I28" s="42"/>
    </row>
    <row r="29" spans="1:11" ht="15.75" thickBot="1" x14ac:dyDescent="0.3">
      <c r="A29" s="14"/>
      <c r="B29" s="77"/>
      <c r="C29" s="83"/>
      <c r="D29" s="78"/>
      <c r="E29" s="78"/>
      <c r="F29" s="79"/>
      <c r="G29" s="14"/>
      <c r="H29" s="41">
        <f t="shared" si="0"/>
        <v>0</v>
      </c>
      <c r="I29" s="42"/>
      <c r="K29" s="9"/>
    </row>
    <row r="30" spans="1:11" ht="16.5" thickBot="1" x14ac:dyDescent="0.3">
      <c r="C30" s="34"/>
      <c r="F30" s="85" t="s">
        <v>35</v>
      </c>
      <c r="G30" s="86"/>
      <c r="H30" s="76">
        <f>SUM(H18:H29)</f>
        <v>28</v>
      </c>
      <c r="I30" s="43"/>
    </row>
    <row r="31" spans="1:11" ht="16.5" thickBot="1" x14ac:dyDescent="0.3">
      <c r="A31" s="2" t="s">
        <v>14</v>
      </c>
      <c r="B31" s="2"/>
      <c r="C31" s="2"/>
      <c r="D31" s="2"/>
      <c r="E31" s="11"/>
      <c r="F31" s="85" t="s">
        <v>36</v>
      </c>
      <c r="G31" s="85"/>
      <c r="H31" s="75"/>
      <c r="I31" s="43"/>
    </row>
    <row r="32" spans="1:11" ht="16.5" thickBot="1" x14ac:dyDescent="0.3">
      <c r="A32" s="2" t="s">
        <v>15</v>
      </c>
      <c r="B32" s="2"/>
      <c r="C32" s="11"/>
      <c r="D32" s="2"/>
      <c r="E32" s="11"/>
      <c r="F32" s="88" t="s">
        <v>37</v>
      </c>
      <c r="G32" s="88"/>
      <c r="H32" s="74">
        <f>H30 -H31</f>
        <v>28</v>
      </c>
      <c r="I32" s="44"/>
    </row>
    <row r="33" spans="1:9" x14ac:dyDescent="0.25">
      <c r="A33" s="11"/>
      <c r="B33" s="11"/>
      <c r="C33" s="48"/>
      <c r="D33" s="11"/>
      <c r="E33" s="11"/>
      <c r="F33" s="11"/>
      <c r="G33" s="11"/>
      <c r="H33" s="21"/>
      <c r="I33" s="21"/>
    </row>
    <row r="34" spans="1:9" x14ac:dyDescent="0.25">
      <c r="A34" s="13" t="s">
        <v>16</v>
      </c>
      <c r="B34" s="13"/>
      <c r="C34" s="51"/>
      <c r="D34" s="50"/>
      <c r="E34" s="48"/>
      <c r="F34" s="48"/>
      <c r="G34" s="11"/>
      <c r="H34" s="21"/>
      <c r="I34" s="21"/>
    </row>
    <row r="35" spans="1:9" x14ac:dyDescent="0.25">
      <c r="A35" s="13"/>
      <c r="B35" s="13"/>
      <c r="C35" s="11"/>
      <c r="D35" s="11"/>
      <c r="E35" s="11"/>
      <c r="F35" s="48"/>
      <c r="G35" s="11"/>
      <c r="H35" s="21"/>
      <c r="I35" s="21"/>
    </row>
    <row r="36" spans="1:9" x14ac:dyDescent="0.25">
      <c r="A36" s="11"/>
      <c r="B36" s="11"/>
      <c r="C36" s="49"/>
      <c r="D36" s="11"/>
      <c r="E36" s="11"/>
      <c r="F36" s="11"/>
      <c r="G36" s="11"/>
      <c r="H36" s="21"/>
      <c r="I36" s="21"/>
    </row>
    <row r="37" spans="1:9" x14ac:dyDescent="0.25">
      <c r="A37" s="13" t="s">
        <v>17</v>
      </c>
      <c r="B37" s="13"/>
      <c r="C37" s="50"/>
      <c r="D37" s="50"/>
      <c r="E37" s="50"/>
      <c r="F37" s="50"/>
      <c r="G37" s="50"/>
      <c r="H37" s="50"/>
      <c r="I37" s="70"/>
    </row>
    <row r="38" spans="1:9" s="9" customFormat="1" x14ac:dyDescent="0.25">
      <c r="A38" s="26"/>
      <c r="B38" s="26"/>
      <c r="C38" s="24"/>
      <c r="D38" s="24"/>
      <c r="E38" s="24"/>
      <c r="F38" s="24"/>
      <c r="G38" s="24"/>
      <c r="H38" s="24"/>
      <c r="I38" s="25"/>
    </row>
    <row r="39" spans="1:9" x14ac:dyDescent="0.25">
      <c r="A39" s="50"/>
      <c r="B39" s="50"/>
      <c r="C39" s="50"/>
      <c r="D39" s="50"/>
      <c r="E39" s="50"/>
      <c r="F39" s="11" t="s">
        <v>19</v>
      </c>
      <c r="G39" s="50"/>
      <c r="H39" s="50"/>
      <c r="I39" s="21" t="s">
        <v>20</v>
      </c>
    </row>
    <row r="40" spans="1:9" x14ac:dyDescent="0.25">
      <c r="A40" s="11"/>
      <c r="B40" s="11"/>
      <c r="C40" s="11"/>
      <c r="D40" s="11"/>
      <c r="E40" s="11"/>
      <c r="F40" s="11"/>
      <c r="G40" s="11"/>
      <c r="H40" s="21"/>
      <c r="I40" s="21"/>
    </row>
    <row r="41" spans="1:9" x14ac:dyDescent="0.25">
      <c r="A41" s="11"/>
      <c r="B41" s="11"/>
      <c r="C41" s="24"/>
      <c r="D41" s="11"/>
      <c r="E41" s="11"/>
      <c r="F41" s="11"/>
      <c r="G41" s="11"/>
      <c r="H41" s="21"/>
      <c r="I41" s="21"/>
    </row>
    <row r="42" spans="1:9" ht="15.75" thickBot="1" x14ac:dyDescent="0.3">
      <c r="A42" s="52"/>
      <c r="B42" s="52"/>
      <c r="C42" s="11"/>
      <c r="D42" s="24"/>
      <c r="E42" s="11"/>
      <c r="F42" s="11"/>
      <c r="G42" s="53"/>
      <c r="H42" s="53"/>
      <c r="I42" s="53"/>
    </row>
    <row r="43" spans="1:9" x14ac:dyDescent="0.25">
      <c r="A43" s="87" t="s">
        <v>18</v>
      </c>
      <c r="B43" s="87"/>
      <c r="C43" s="10"/>
      <c r="D43" s="11"/>
      <c r="E43" s="11"/>
      <c r="F43" s="11"/>
      <c r="G43" s="89" t="s">
        <v>21</v>
      </c>
      <c r="H43" s="89"/>
      <c r="I43" s="89"/>
    </row>
    <row r="44" spans="1:9" x14ac:dyDescent="0.25">
      <c r="A44" s="10"/>
      <c r="B44" s="10"/>
      <c r="C44" s="30"/>
      <c r="D44" s="73"/>
      <c r="E44" s="73"/>
      <c r="F44" s="10"/>
      <c r="G44" s="10"/>
      <c r="H44" s="22"/>
      <c r="I44" s="56"/>
    </row>
    <row r="45" spans="1:9" x14ac:dyDescent="0.25">
      <c r="C45" s="30"/>
      <c r="D45" s="17"/>
      <c r="E45" s="17"/>
      <c r="I45" s="56"/>
    </row>
    <row r="46" spans="1:9" x14ac:dyDescent="0.25">
      <c r="C46" s="30"/>
      <c r="D46" s="17"/>
      <c r="E46" s="17"/>
      <c r="I46" s="56"/>
    </row>
    <row r="47" spans="1:9" x14ac:dyDescent="0.25">
      <c r="C47" s="30"/>
      <c r="D47" s="17"/>
      <c r="E47" s="17"/>
      <c r="G47" s="55"/>
    </row>
    <row r="48" spans="1:9" x14ac:dyDescent="0.25">
      <c r="C48" s="30"/>
      <c r="D48" s="17"/>
      <c r="E48" s="17"/>
      <c r="I48" s="56"/>
    </row>
    <row r="49" spans="3:9" x14ac:dyDescent="0.25">
      <c r="C49" s="30"/>
      <c r="D49" s="54"/>
      <c r="E49" s="54"/>
      <c r="I49" s="56"/>
    </row>
  </sheetData>
  <mergeCells count="12">
    <mergeCell ref="A1:I1"/>
    <mergeCell ref="A5:I5"/>
    <mergeCell ref="A12:F12"/>
    <mergeCell ref="A7:I7"/>
    <mergeCell ref="A6:I6"/>
    <mergeCell ref="A8:I8"/>
    <mergeCell ref="A9:I9"/>
    <mergeCell ref="F30:G30"/>
    <mergeCell ref="F31:G31"/>
    <mergeCell ref="A43:B43"/>
    <mergeCell ref="F32:G32"/>
    <mergeCell ref="G43:I4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ecordofInvoice">
                <anchor moveWithCells="1" sizeWithCells="1">
                  <from>
                    <xdr:col>9</xdr:col>
                    <xdr:colOff>590550</xdr:colOff>
                    <xdr:row>10</xdr:row>
                    <xdr:rowOff>152400</xdr:rowOff>
                  </from>
                  <to>
                    <xdr:col>12</xdr:col>
                    <xdr:colOff>161925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CreateNewInvoice_DblClick">
                <anchor moveWithCells="1" sizeWithCells="1">
                  <from>
                    <xdr:col>9</xdr:col>
                    <xdr:colOff>600075</xdr:colOff>
                    <xdr:row>15</xdr:row>
                    <xdr:rowOff>19050</xdr:rowOff>
                  </from>
                  <to>
                    <xdr:col>12</xdr:col>
                    <xdr:colOff>104775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SaveAspdf">
                <anchor moveWithCells="1" sizeWithCells="1">
                  <from>
                    <xdr:col>10</xdr:col>
                    <xdr:colOff>9525</xdr:colOff>
                    <xdr:row>18</xdr:row>
                    <xdr:rowOff>171450</xdr:rowOff>
                  </from>
                  <to>
                    <xdr:col>12</xdr:col>
                    <xdr:colOff>57150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SaveInvAsExcel">
                <anchor moveWithCells="1" sizeWithCells="1">
                  <from>
                    <xdr:col>9</xdr:col>
                    <xdr:colOff>590550</xdr:colOff>
                    <xdr:row>23</xdr:row>
                    <xdr:rowOff>9525</xdr:rowOff>
                  </from>
                  <to>
                    <xdr:col>12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8"/>
  <sheetViews>
    <sheetView workbookViewId="0">
      <selection activeCell="E18" sqref="E18"/>
    </sheetView>
  </sheetViews>
  <sheetFormatPr defaultRowHeight="15" x14ac:dyDescent="0.25"/>
  <cols>
    <col min="1" max="1" width="12.85546875" customWidth="1"/>
    <col min="2" max="2" width="21.85546875" customWidth="1"/>
    <col min="3" max="3" width="24" style="58" customWidth="1"/>
    <col min="4" max="5" width="16.85546875" customWidth="1"/>
    <col min="6" max="7" width="15.85546875" customWidth="1"/>
    <col min="8" max="8" width="21.28515625" customWidth="1"/>
    <col min="9" max="9" width="43.28515625" customWidth="1"/>
    <col min="10" max="10" width="37.7109375" customWidth="1"/>
  </cols>
  <sheetData>
    <row r="1" spans="1:11" ht="15.75" x14ac:dyDescent="0.25">
      <c r="A1" s="27" t="s">
        <v>23</v>
      </c>
      <c r="B1" s="27" t="s">
        <v>25</v>
      </c>
      <c r="C1" s="57" t="s">
        <v>26</v>
      </c>
      <c r="D1" s="27" t="s">
        <v>31</v>
      </c>
      <c r="E1" s="27" t="s">
        <v>30</v>
      </c>
      <c r="F1" s="27" t="s">
        <v>27</v>
      </c>
      <c r="G1" s="27" t="s">
        <v>22</v>
      </c>
      <c r="H1" s="27" t="s">
        <v>33</v>
      </c>
      <c r="I1" s="27" t="s">
        <v>28</v>
      </c>
      <c r="J1" s="27" t="s">
        <v>29</v>
      </c>
      <c r="K1" t="s">
        <v>3</v>
      </c>
    </row>
    <row r="2" spans="1:11" x14ac:dyDescent="0.25">
      <c r="A2">
        <v>3</v>
      </c>
      <c r="C2" s="58">
        <v>0</v>
      </c>
      <c r="D2" s="17">
        <v>44687</v>
      </c>
      <c r="E2" s="17">
        <v>44687</v>
      </c>
      <c r="F2" t="s">
        <v>43</v>
      </c>
      <c r="H2">
        <v>0</v>
      </c>
    </row>
    <row r="3" spans="1:11" x14ac:dyDescent="0.25">
      <c r="A3">
        <v>4</v>
      </c>
      <c r="C3" s="58">
        <v>7200020</v>
      </c>
      <c r="D3" s="17">
        <v>44708</v>
      </c>
      <c r="E3" s="17">
        <v>44708</v>
      </c>
      <c r="H3">
        <v>0</v>
      </c>
      <c r="I3" s="55"/>
    </row>
    <row r="4" spans="1:11" x14ac:dyDescent="0.25">
      <c r="A4">
        <v>5</v>
      </c>
      <c r="C4" s="58">
        <v>20</v>
      </c>
      <c r="D4" s="17">
        <v>44708</v>
      </c>
      <c r="E4" s="17">
        <v>44708</v>
      </c>
      <c r="H4">
        <v>0</v>
      </c>
      <c r="J4" s="55"/>
    </row>
    <row r="5" spans="1:11" x14ac:dyDescent="0.25">
      <c r="A5">
        <v>4</v>
      </c>
      <c r="C5" s="58">
        <v>460</v>
      </c>
      <c r="D5" s="17">
        <v>44708</v>
      </c>
      <c r="E5" s="17">
        <v>44708</v>
      </c>
      <c r="H5">
        <v>0</v>
      </c>
      <c r="I5" s="55"/>
    </row>
    <row r="6" spans="1:11" x14ac:dyDescent="0.25">
      <c r="A6">
        <v>4</v>
      </c>
      <c r="C6" s="58">
        <v>20</v>
      </c>
      <c r="D6" s="17">
        <v>44708</v>
      </c>
      <c r="E6" s="17">
        <v>44708</v>
      </c>
      <c r="H6">
        <v>0</v>
      </c>
      <c r="I6" s="55"/>
      <c r="J6" s="55"/>
    </row>
    <row r="7" spans="1:11" x14ac:dyDescent="0.25">
      <c r="A7">
        <v>4</v>
      </c>
      <c r="C7" s="58">
        <v>28</v>
      </c>
      <c r="D7" s="17">
        <v>44708</v>
      </c>
      <c r="E7" s="17">
        <v>44708</v>
      </c>
      <c r="H7">
        <v>0</v>
      </c>
      <c r="I7" s="55"/>
    </row>
    <row r="8" spans="1:11" x14ac:dyDescent="0.25">
      <c r="D8" s="17"/>
      <c r="E8" s="17"/>
      <c r="I8" s="55"/>
      <c r="J8" s="55"/>
    </row>
    <row r="9" spans="1:11" x14ac:dyDescent="0.25">
      <c r="D9" s="17"/>
      <c r="E9" s="17"/>
      <c r="J9" s="55"/>
    </row>
    <row r="10" spans="1:11" x14ac:dyDescent="0.25">
      <c r="D10" s="17"/>
      <c r="E10" s="17"/>
      <c r="I10" s="55"/>
    </row>
    <row r="11" spans="1:11" x14ac:dyDescent="0.25">
      <c r="D11" s="17"/>
      <c r="E11" s="17"/>
      <c r="I11" s="55"/>
    </row>
    <row r="12" spans="1:11" x14ac:dyDescent="0.25">
      <c r="D12" s="17"/>
      <c r="E12" s="17"/>
    </row>
    <row r="13" spans="1:11" x14ac:dyDescent="0.25">
      <c r="D13" s="17"/>
      <c r="E13" s="17"/>
      <c r="I13" s="55"/>
      <c r="J13" s="55"/>
    </row>
    <row r="14" spans="1:11" x14ac:dyDescent="0.25">
      <c r="D14" s="17"/>
      <c r="E14" s="17"/>
      <c r="J14" s="55"/>
    </row>
    <row r="15" spans="1:11" x14ac:dyDescent="0.25">
      <c r="D15" s="17"/>
      <c r="E15" s="17"/>
    </row>
    <row r="16" spans="1:11" x14ac:dyDescent="0.25">
      <c r="D16" s="17"/>
      <c r="E16" s="17"/>
    </row>
    <row r="17" spans="4:10" x14ac:dyDescent="0.25">
      <c r="D17" s="17"/>
      <c r="E17" s="17"/>
      <c r="I17" s="55"/>
    </row>
    <row r="18" spans="4:10" x14ac:dyDescent="0.25">
      <c r="D18" s="17"/>
      <c r="E18" s="17"/>
      <c r="J18" s="55"/>
    </row>
  </sheetData>
  <conditionalFormatting sqref="A2:H999">
    <cfRule type="expression" dxfId="1" priority="2">
      <formula>AND($A2 &lt;&gt;"",$E2 &lt; TODAY(), $F2 &lt;&gt; "Yes")</formula>
    </cfRule>
  </conditionalFormatting>
  <conditionalFormatting sqref="A2:F1000">
    <cfRule type="expression" dxfId="0" priority="1">
      <formula>AND($A2&lt;&gt;"",$E2 &lt; TODAY(), $F$2 &lt;&gt;"Yes")</formula>
    </cfRule>
  </conditionalFormatting>
  <dataValidations count="1">
    <dataValidation type="list" allowBlank="1" showInputMessage="1" showErrorMessage="1" sqref="G2:H999 F1:F1048576">
      <formula1>"Yes"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skyy-aluminium-Invoice-template</vt:lpstr>
      <vt:lpstr>Record_invoices</vt:lpstr>
      <vt:lpstr>'skyy-aluminium-Invoice-template'!Print_Area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2022-05-05T23:54:58Z</cp:lastPrinted>
  <dcterms:created xsi:type="dcterms:W3CDTF">2022-05-04T09:00:03Z</dcterms:created>
  <dcterms:modified xsi:type="dcterms:W3CDTF">2022-05-28T03:15:53Z</dcterms:modified>
</cp:coreProperties>
</file>